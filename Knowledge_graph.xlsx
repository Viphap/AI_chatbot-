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C09F8802-3342-40AC-ACFB-3EF4355613AD}" xr6:coauthVersionLast="47" xr6:coauthVersionMax="47" xr10:uidLastSave="{00000000-0000-0000-0000-000000000000}"/>
  <bookViews>
    <workbookView xWindow="-108" yWindow="-108" windowWidth="23256" windowHeight="12456" activeTab="1" xr2:uid="{B4B9C053-F3BD-44AA-A6E8-FC25F16DECF7}"/>
  </bookViews>
  <sheets>
    <sheet name="RM2" sheetId="1" r:id="rId1"/>
    <sheet name="Sheet1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3" i="1" l="1"/>
  <c r="B72" i="1"/>
</calcChain>
</file>

<file path=xl/sharedStrings.xml><?xml version="1.0" encoding="utf-8"?>
<sst xmlns="http://schemas.openxmlformats.org/spreadsheetml/2006/main" count="803" uniqueCount="222">
  <si>
    <t>Ứng suất 1 đốt K2 trụ P19 (P19_K2_SG1)</t>
  </si>
  <si>
    <t>Ứng suất bản đáy thượng lưu đốt K0 (SG1_K0)</t>
  </si>
  <si>
    <t>Ứng suất bản đáy hạ lưu đốt K0 (SG2_K0)</t>
  </si>
  <si>
    <t>Ứng suất bản nắp thượng lưu đốt K0 (SG3_K0)</t>
  </si>
  <si>
    <t>Ứng suất bản đáy thượng lưu đốt SK5 (SG1_SK5)</t>
  </si>
  <si>
    <t>Ứng suất bản nắp thượng lưu đốt SK5 (SG2_SK5)</t>
  </si>
  <si>
    <t>Ứng suất bản đáy hạ lưu đốt SK5 (SG3_SK5)</t>
  </si>
  <si>
    <t>Ứng suất bản nắp hạ lưu đốt SK5 (SG4_SK5)</t>
  </si>
  <si>
    <t>Ứng suất 2 đốt K2 trụ P19 (P19_K2_SG2)</t>
  </si>
  <si>
    <t>Ứng suất 4 đốt K2 trụ P19 (P19_K2_SG4)</t>
  </si>
  <si>
    <t>Ứng suất 3 đốt K2 trụ P19 (P19_K2_SG3)</t>
  </si>
  <si>
    <t>Ứng suất 4 đốt K11 trụ P19 (P19_K11_SG4)</t>
  </si>
  <si>
    <t>Ứng suất 1 đốt K11 trụ P19 (P19_K11_SG1)</t>
  </si>
  <si>
    <t>Ứng suất 2 đốt K11 trụ P19 (P19_K11_SG2)</t>
  </si>
  <si>
    <t>Ứng suất 3 đốt K11 trụ P19 (P19_K11_SG3)</t>
  </si>
  <si>
    <t>Ứng suất bản nắp hạ lưu đốt K0 (SG4_K0)</t>
  </si>
  <si>
    <t>Ứng suất bản đáy thượng lưu đốt hợp long (us_bdtl_hl)</t>
  </si>
  <si>
    <t>Ứng suất bản đáy hạ lưu đốt hợp long (us_bdhl_hl)</t>
  </si>
  <si>
    <t>Ứng suất bản nắp hạ lưu đốt hợp long (us_bnhl_hl)</t>
  </si>
  <si>
    <t>Tên thiết bị</t>
  </si>
  <si>
    <t>Loại thiết bị</t>
  </si>
  <si>
    <t>Vị trí lắp</t>
  </si>
  <si>
    <t>Tủ</t>
  </si>
  <si>
    <t>Tên biến</t>
  </si>
  <si>
    <t>SG</t>
  </si>
  <si>
    <t>đốt K2</t>
  </si>
  <si>
    <t>đốt K11</t>
  </si>
  <si>
    <t>P19</t>
  </si>
  <si>
    <t>đốt K0</t>
  </si>
  <si>
    <t>đốt SK5</t>
  </si>
  <si>
    <t>Contrainte(1)</t>
  </si>
  <si>
    <t>Contrainte(10)</t>
  </si>
  <si>
    <t>Contrainte(11)</t>
  </si>
  <si>
    <t>Contrainte(12)</t>
  </si>
  <si>
    <t>Contrainte(13)</t>
  </si>
  <si>
    <t>Contrainte(14)</t>
  </si>
  <si>
    <t>Contrainte(15)</t>
  </si>
  <si>
    <t>Contrainte(16)</t>
  </si>
  <si>
    <t>Contrainte(2)</t>
  </si>
  <si>
    <t>Contrainte(3)</t>
  </si>
  <si>
    <t>Contrainte(4)</t>
  </si>
  <si>
    <t>Contrainte(5)</t>
  </si>
  <si>
    <t>Contrainte(6)</t>
  </si>
  <si>
    <t>Contrainte(7)</t>
  </si>
  <si>
    <t>Contrainte(8)</t>
  </si>
  <si>
    <t>Contrainte(9)</t>
  </si>
  <si>
    <t>Tình trạng</t>
  </si>
  <si>
    <t>Mất dữ liệu</t>
  </si>
  <si>
    <t>Đang hoạt động</t>
  </si>
  <si>
    <t>P20</t>
  </si>
  <si>
    <t>đáy thượng lưu đốt K0</t>
  </si>
  <si>
    <t>nắp hạ lưu đốt K0</t>
  </si>
  <si>
    <t>nắp thượng lưu đốt K0</t>
  </si>
  <si>
    <t>đáy thượng lưu đốt SK5</t>
  </si>
  <si>
    <t>nắp thượng lưu đốt SK5</t>
  </si>
  <si>
    <t>đáy hạ lưu đốt SK5</t>
  </si>
  <si>
    <t>nắp hạ lưu đốt SK5</t>
  </si>
  <si>
    <t>đáy thượng lưu đốt hợp long</t>
  </si>
  <si>
    <t>nắp thượng lưu đốt hợp long</t>
  </si>
  <si>
    <t>đáy hạ lưu đốt hợp long</t>
  </si>
  <si>
    <t>nắp hạ lưu đốt hợp long</t>
  </si>
  <si>
    <t>Lực căng cáp văng MC1_HL_Tao số 2 (LC_P19_CV1)</t>
  </si>
  <si>
    <t>Lực căng cáp văng MC10_HL Tao số 2 (LC_P19_CV10)</t>
  </si>
  <si>
    <t>Lực căng cáp văng MC11_HL Tao số 2 (LC_P19_CV11)</t>
  </si>
  <si>
    <t>Lực căng cáp văng MC12_HL Tao số 2 (LC_P19_CV12)</t>
  </si>
  <si>
    <t>Lực căng cáp văng MC13_HL Tao số 2 (LC_P19_CV13)</t>
  </si>
  <si>
    <t>Lực căng cáp văng MC14_HL Tao số 2 (LC_P19_CV14)</t>
  </si>
  <si>
    <t>Lực căng cáp văng MC2_HL Tao số 2 (LC_P19_CV2)</t>
  </si>
  <si>
    <t>Lực căng cáp văng MC3_HL Tao số 2 (LC_P19_CV3)</t>
  </si>
  <si>
    <t>Lực căng cáp văng MC4_HL Tao số 2 (LC_P19_CV4)</t>
  </si>
  <si>
    <t>Lực căng cáp văng MC5_HL Tao số 2 (LC_P19_CV5)</t>
  </si>
  <si>
    <t>Lực căng cáp văng MC6_HL Tao số 2 (LC_P19_CV6)</t>
  </si>
  <si>
    <t>Lực căng cáp văng MC7_HL Tao số 2 (LC_P19_CV7)</t>
  </si>
  <si>
    <t>Lực căng cáp văng MC8_HL Tao số 2 (LC_P19_CV8)</t>
  </si>
  <si>
    <t>Lực căng cáp văng MC9_HL Tao số 2 (LC_P19_CV9)</t>
  </si>
  <si>
    <t>LC</t>
  </si>
  <si>
    <t>Tension(1)</t>
  </si>
  <si>
    <t>Tension(10)</t>
  </si>
  <si>
    <t>Tension(11)</t>
  </si>
  <si>
    <t>Tension(12)</t>
  </si>
  <si>
    <t>Tension(13)</t>
  </si>
  <si>
    <t>Tension(14)</t>
  </si>
  <si>
    <t>Tension(2)</t>
  </si>
  <si>
    <t>Tension(3)</t>
  </si>
  <si>
    <t>Tension(4)</t>
  </si>
  <si>
    <t>Tension(5)</t>
  </si>
  <si>
    <t>Tension(6)</t>
  </si>
  <si>
    <t>Tension(7)</t>
  </si>
  <si>
    <t>Tension(8)</t>
  </si>
  <si>
    <t>Tension(9)</t>
  </si>
  <si>
    <t>Nhiệt độ bệ trụ P19 (P19_PT100_BETRU)</t>
  </si>
  <si>
    <t>Nhiệt độ đốt K0 (P19_PT100_K0)</t>
  </si>
  <si>
    <t>Nhiệt độ đốt K11 trụ P19 (P19_PT100_K11)</t>
  </si>
  <si>
    <t>Nhiệt độ đốt K2 trụ P19 (P19_PT100_K2)</t>
  </si>
  <si>
    <t>Nhiệt độ đốt SK5 (P19_PT100_SK5)</t>
  </si>
  <si>
    <t>Pt100_4w(1)</t>
  </si>
  <si>
    <t>Pt100_4w(4)</t>
  </si>
  <si>
    <t>Pt100_4w(3)</t>
  </si>
  <si>
    <t>Pt100_4w(2)</t>
  </si>
  <si>
    <t>Pt100_4w(5)</t>
  </si>
  <si>
    <t>bệ trụ P19</t>
  </si>
  <si>
    <t>T</t>
  </si>
  <si>
    <t>dây MC1</t>
  </si>
  <si>
    <t>dây MC10</t>
  </si>
  <si>
    <t>dây MC11</t>
  </si>
  <si>
    <t>dây MC12</t>
  </si>
  <si>
    <t>dây MC13</t>
  </si>
  <si>
    <t>dây MC14</t>
  </si>
  <si>
    <t>dây MC2</t>
  </si>
  <si>
    <t>dây MC3</t>
  </si>
  <si>
    <t>dây MC4</t>
  </si>
  <si>
    <t>dây MC5</t>
  </si>
  <si>
    <t>dây MC6</t>
  </si>
  <si>
    <t>dây MC7</t>
  </si>
  <si>
    <t>dây MC8</t>
  </si>
  <si>
    <t>dây MC9</t>
  </si>
  <si>
    <t>Lực căng cáp văng SC1_HL_Tao số 2 (LC_P20_CV1)</t>
  </si>
  <si>
    <t>Lực căng cáp văng SC10_HL Tao số 2 (LC_P20_CV10)</t>
  </si>
  <si>
    <t>Lực căng cáp văng SC11_HL Tao số 2 (LC_P20_CV11)</t>
  </si>
  <si>
    <t>Lực căng cáp văng SC12_HL Tao số 2 (LC_P20_CV12)</t>
  </si>
  <si>
    <t>Lực căng cáp văng SC13_HL Tao số 2 (LC_P20_CV13)</t>
  </si>
  <si>
    <t>Lực căng cáp văng SC14_HL Tao số 2 (LC_P20_CV14)</t>
  </si>
  <si>
    <t>Lực căng cáp văng SC2_HL Tao số 2 (LC_P20_CV2)</t>
  </si>
  <si>
    <t>Lực căng cáp văng SC3_HL Tao số 2 (LC_P20_CV3)</t>
  </si>
  <si>
    <t>Lực căng cáp văng SC4_HL Tao số 2 (LC_P20_CV4)</t>
  </si>
  <si>
    <t>Lực căng cáp văng SC5_HL Tao số 2 (LC_P20_CV5)</t>
  </si>
  <si>
    <t>Lực căng cáp văng SC6_HL Tao số 2 (LC_P20_CV6)</t>
  </si>
  <si>
    <t>Lực căng cáp văng SC7_HL Tao số 2 (LC_P20_CV7)</t>
  </si>
  <si>
    <t>Lực căng cáp văng SC8_HL Tao số 2 (LC_P20_CV8)</t>
  </si>
  <si>
    <t>Lực căng cáp văng SC9_HL Tao số 2 (LC_P20_CV9)</t>
  </si>
  <si>
    <t>dây CV1</t>
  </si>
  <si>
    <t>dây CV10</t>
  </si>
  <si>
    <t>dây CV11</t>
  </si>
  <si>
    <t>dây CV12</t>
  </si>
  <si>
    <t>dây CV13</t>
  </si>
  <si>
    <t>dây CV14</t>
  </si>
  <si>
    <t>dây CV2</t>
  </si>
  <si>
    <t>dây CV3</t>
  </si>
  <si>
    <t>dây CV4</t>
  </si>
  <si>
    <t>dây CV5</t>
  </si>
  <si>
    <t>dây CV6</t>
  </si>
  <si>
    <t>dây CV7</t>
  </si>
  <si>
    <t>dây CV8</t>
  </si>
  <si>
    <t>dây CV9</t>
  </si>
  <si>
    <t>Device</t>
  </si>
  <si>
    <t>Nhiệt độ bệ trụ P20 (P20_PT100_BETRU)</t>
  </si>
  <si>
    <t>P20_PT100_BETRU</t>
  </si>
  <si>
    <t>bệ trụ P20</t>
  </si>
  <si>
    <t>Pt100_betru</t>
  </si>
  <si>
    <t>Dao động đỉnh tháp P19</t>
  </si>
  <si>
    <t>ACC_RM2_FFT_01</t>
  </si>
  <si>
    <t>ACC</t>
  </si>
  <si>
    <t>đỉnh tháp P19</t>
  </si>
  <si>
    <t>P19_Qb_TT_var_1_freq</t>
  </si>
  <si>
    <t>Dao động dây văng SC14 P19</t>
  </si>
  <si>
    <t>P19_Qb_SC14_var1_freq</t>
  </si>
  <si>
    <t>Dao động đỉnh tháp P20</t>
  </si>
  <si>
    <t>đỉnh tháp P20</t>
  </si>
  <si>
    <t>P20_Qb_TT_var_1_freq</t>
  </si>
  <si>
    <t>dây SC14</t>
  </si>
  <si>
    <t>Dao động hợp long</t>
  </si>
  <si>
    <t>đốt hợp long</t>
  </si>
  <si>
    <t>Qb_HL_var_3_freq</t>
  </si>
  <si>
    <t>Dao động dây văng MC14 P19</t>
  </si>
  <si>
    <t>Qb_HL_var_1_freq</t>
  </si>
  <si>
    <t>Dao động dây văng MC14 P20</t>
  </si>
  <si>
    <t>Qb_HL_var_2_freq</t>
  </si>
  <si>
    <t>Dao động dây văng SC14 P20</t>
  </si>
  <si>
    <t>P20_Qb_SC14_var1_freq</t>
  </si>
  <si>
    <t>Dao động đốt SK5 P19</t>
  </si>
  <si>
    <t>P19_Qb_SK5_var_1_freq</t>
  </si>
  <si>
    <t>Pt100_3</t>
  </si>
  <si>
    <t>Nhiệt độ dây văng MC14 P20(rtd_mc14_hl_p20)</t>
  </si>
  <si>
    <t>Pt100_1</t>
  </si>
  <si>
    <t>Nhiệt độ dây văng MC14 P19(rtd_mc14_hl_p19)</t>
  </si>
  <si>
    <t>Pt100_4w(6)</t>
  </si>
  <si>
    <t>Nhiệt độ dây văng SC14 P19 (rtd_sc14_hl_p18_p19)</t>
  </si>
  <si>
    <t>Dừng hoạt động</t>
  </si>
  <si>
    <t>Nhiệt độ dây văng SC14 P20(rtd_sc14_hl_p20_p21)</t>
  </si>
  <si>
    <t>Hợp long</t>
  </si>
  <si>
    <t>Nhiệt độ môi trường</t>
  </si>
  <si>
    <t>f(RH)</t>
  </si>
  <si>
    <t>Độ ẩm môi trường</t>
  </si>
  <si>
    <t>RH</t>
  </si>
  <si>
    <t>f(AirTC)</t>
  </si>
  <si>
    <t>Lượng mưa</t>
  </si>
  <si>
    <t>PHL-Rain</t>
  </si>
  <si>
    <t>Rain</t>
  </si>
  <si>
    <t>Rain_mm_Tot</t>
  </si>
  <si>
    <t>P19 - SG</t>
  </si>
  <si>
    <t>Loadcell_P19</t>
  </si>
  <si>
    <t>Loadcell_P20</t>
  </si>
  <si>
    <t>P19 - PT100</t>
  </si>
  <si>
    <t>PHL-PT100</t>
  </si>
  <si>
    <t xml:space="preserve">P20-PT100 </t>
  </si>
  <si>
    <t>PHL-ATRH</t>
  </si>
  <si>
    <t>Chuyển vị kết cấu GNSS đỉnh tháp P20 (Bến Tre)</t>
  </si>
  <si>
    <t>Chuyển vị kết cấu GNSS đỉnh tháp P19 (Tiền Giang)</t>
  </si>
  <si>
    <t>Chuyển vị kết cấu GNSS hợp long</t>
  </si>
  <si>
    <t>GNSS_RM2</t>
  </si>
  <si>
    <t>GNSS</t>
  </si>
  <si>
    <t>Delta_E3(mm), Delta_N3(mm), Delta_U3(mm)</t>
  </si>
  <si>
    <t>Delta_E1(mm), Delta_N1(mm), Delta_U1(mm)</t>
  </si>
  <si>
    <t>Delta_E2(mm), Delta_N2(mm), Delta_U2(mm)</t>
  </si>
  <si>
    <t>PHL-SG</t>
  </si>
  <si>
    <t>Frequences(3)</t>
  </si>
  <si>
    <t>Frequences(1)</t>
  </si>
  <si>
    <t>Frequences(4)</t>
  </si>
  <si>
    <t>Frequences(2)</t>
  </si>
  <si>
    <t>Ứng suất bản nắp thượng lưu đốt hợp long (us_bntl_hl)</t>
  </si>
  <si>
    <t>Giá trị trả về</t>
  </si>
  <si>
    <t>Ngưỡng cảnh báo trên 1</t>
  </si>
  <si>
    <t>Ngưỡng cảnh báo dưới 1</t>
  </si>
  <si>
    <t>value</t>
  </si>
  <si>
    <t>value + 2.8</t>
  </si>
  <si>
    <t>c = 3.4878 * Math.pow(10,-3) * (Math.pow(value,2) - Math.pow(2329.394,2)) * 34269 * Math.pow(10,-6);</t>
  </si>
  <si>
    <t>c = 3.814 * Math.pow(10,-3) * (Math.pow((value/3),2) - Math.pow((2365.052/3),2)) * 34269 * Math.pow(10,-6);</t>
  </si>
  <si>
    <t>c = 3.4878 * Math.pow(10,-3) * (Math.pow(value,2) - Math.pow(2346.888,2)) * 34269 * Math.pow(10,-6);</t>
  </si>
  <si>
    <t>c = 3.4878 * Math.pow(10,-3) * (Math.pow(value,2) - Math.pow(2204.12,2)) * 34269 * Math.pow(10,-6);</t>
  </si>
  <si>
    <t>value/1000</t>
  </si>
  <si>
    <t>value/1000 * 0.97</t>
  </si>
  <si>
    <t>value/1000 *0.9575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</si>
</sst>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1" fillId="2" borderId="0" xfId="0" applyFont="1" applyFill="1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8DEA4-7BD9-481E-918C-590E74D8F0D8}">
  <dimension ref="A1:G73"/>
  <sheetViews>
    <sheetView topLeftCell="A7" workbookViewId="0">
      <selection activeCell="A20" sqref="A20"/>
    </sheetView>
  </sheetViews>
  <sheetFormatPr defaultRowHeight="14.4" x14ac:dyDescent="0.3"/>
  <cols>
    <col min="1" max="1" width="39" customWidth="1"/>
    <col min="2" max="2" width="25" customWidth="1"/>
    <col min="3" max="3" width="20.33203125" customWidth="1"/>
    <col min="4" max="4" width="26" customWidth="1"/>
    <col min="5" max="5" width="15.109375" customWidth="1"/>
    <col min="6" max="6" width="39.77734375" customWidth="1"/>
    <col min="7" max="7" width="13.77734375" style="5" customWidth="1"/>
  </cols>
  <sheetData>
    <row r="1" spans="1:7" x14ac:dyDescent="0.3">
      <c r="A1" s="2" t="s">
        <v>19</v>
      </c>
      <c r="B1" s="2" t="s">
        <v>144</v>
      </c>
      <c r="C1" s="2" t="s">
        <v>20</v>
      </c>
      <c r="D1" s="2" t="s">
        <v>21</v>
      </c>
      <c r="E1" s="2" t="s">
        <v>22</v>
      </c>
      <c r="F1" s="2" t="s">
        <v>23</v>
      </c>
      <c r="G1" s="3" t="s">
        <v>46</v>
      </c>
    </row>
    <row r="2" spans="1:7" x14ac:dyDescent="0.3">
      <c r="A2" s="1" t="s">
        <v>0</v>
      </c>
      <c r="B2" s="1" t="s">
        <v>189</v>
      </c>
      <c r="C2" s="2" t="s">
        <v>24</v>
      </c>
      <c r="D2" s="2" t="s">
        <v>25</v>
      </c>
      <c r="E2" s="2" t="s">
        <v>27</v>
      </c>
      <c r="F2" s="1" t="s">
        <v>30</v>
      </c>
      <c r="G2" s="4" t="s">
        <v>47</v>
      </c>
    </row>
    <row r="3" spans="1:7" ht="28.2" x14ac:dyDescent="0.3">
      <c r="A3" s="1" t="s">
        <v>1</v>
      </c>
      <c r="B3" s="1" t="s">
        <v>189</v>
      </c>
      <c r="C3" s="2" t="s">
        <v>24</v>
      </c>
      <c r="D3" s="2" t="s">
        <v>50</v>
      </c>
      <c r="E3" s="2" t="s">
        <v>27</v>
      </c>
      <c r="F3" s="1" t="s">
        <v>31</v>
      </c>
      <c r="G3" s="4" t="s">
        <v>48</v>
      </c>
    </row>
    <row r="4" spans="1:7" x14ac:dyDescent="0.3">
      <c r="A4" s="1" t="s">
        <v>2</v>
      </c>
      <c r="B4" s="1" t="s">
        <v>189</v>
      </c>
      <c r="C4" s="2" t="s">
        <v>24</v>
      </c>
      <c r="D4" s="2" t="s">
        <v>51</v>
      </c>
      <c r="E4" s="2" t="s">
        <v>27</v>
      </c>
      <c r="F4" s="1" t="s">
        <v>32</v>
      </c>
      <c r="G4" s="4" t="s">
        <v>48</v>
      </c>
    </row>
    <row r="5" spans="1:7" ht="28.2" x14ac:dyDescent="0.3">
      <c r="A5" s="1" t="s">
        <v>3</v>
      </c>
      <c r="B5" s="1" t="s">
        <v>189</v>
      </c>
      <c r="C5" s="2" t="s">
        <v>24</v>
      </c>
      <c r="D5" s="2" t="s">
        <v>52</v>
      </c>
      <c r="E5" s="2" t="s">
        <v>27</v>
      </c>
      <c r="F5" s="1" t="s">
        <v>33</v>
      </c>
      <c r="G5" s="4" t="s">
        <v>48</v>
      </c>
    </row>
    <row r="6" spans="1:7" ht="28.2" x14ac:dyDescent="0.3">
      <c r="A6" s="1" t="s">
        <v>4</v>
      </c>
      <c r="B6" s="1" t="s">
        <v>189</v>
      </c>
      <c r="C6" s="2" t="s">
        <v>24</v>
      </c>
      <c r="D6" s="2" t="s">
        <v>53</v>
      </c>
      <c r="E6" s="2" t="s">
        <v>27</v>
      </c>
      <c r="F6" s="1" t="s">
        <v>34</v>
      </c>
      <c r="G6" s="4" t="s">
        <v>48</v>
      </c>
    </row>
    <row r="7" spans="1:7" ht="28.2" x14ac:dyDescent="0.3">
      <c r="A7" s="1" t="s">
        <v>5</v>
      </c>
      <c r="B7" s="1" t="s">
        <v>189</v>
      </c>
      <c r="C7" s="2" t="s">
        <v>24</v>
      </c>
      <c r="D7" s="2" t="s">
        <v>54</v>
      </c>
      <c r="E7" s="2" t="s">
        <v>27</v>
      </c>
      <c r="F7" s="1" t="s">
        <v>35</v>
      </c>
      <c r="G7" s="4" t="s">
        <v>48</v>
      </c>
    </row>
    <row r="8" spans="1:7" x14ac:dyDescent="0.3">
      <c r="A8" s="1" t="s">
        <v>6</v>
      </c>
      <c r="B8" s="1" t="s">
        <v>189</v>
      </c>
      <c r="C8" s="2" t="s">
        <v>24</v>
      </c>
      <c r="D8" s="2" t="s">
        <v>55</v>
      </c>
      <c r="E8" s="2" t="s">
        <v>27</v>
      </c>
      <c r="F8" s="1" t="s">
        <v>36</v>
      </c>
      <c r="G8" s="4" t="s">
        <v>48</v>
      </c>
    </row>
    <row r="9" spans="1:7" x14ac:dyDescent="0.3">
      <c r="A9" s="1" t="s">
        <v>7</v>
      </c>
      <c r="B9" s="1" t="s">
        <v>189</v>
      </c>
      <c r="C9" s="2" t="s">
        <v>24</v>
      </c>
      <c r="D9" s="2" t="s">
        <v>56</v>
      </c>
      <c r="E9" s="2" t="s">
        <v>27</v>
      </c>
      <c r="F9" s="1" t="s">
        <v>37</v>
      </c>
      <c r="G9" s="4" t="s">
        <v>48</v>
      </c>
    </row>
    <row r="10" spans="1:7" x14ac:dyDescent="0.3">
      <c r="A10" s="1" t="s">
        <v>8</v>
      </c>
      <c r="B10" s="1" t="s">
        <v>189</v>
      </c>
      <c r="C10" s="2" t="s">
        <v>24</v>
      </c>
      <c r="D10" s="2" t="s">
        <v>25</v>
      </c>
      <c r="E10" s="2" t="s">
        <v>27</v>
      </c>
      <c r="F10" s="1" t="s">
        <v>38</v>
      </c>
      <c r="G10" s="4" t="s">
        <v>47</v>
      </c>
    </row>
    <row r="11" spans="1:7" x14ac:dyDescent="0.3">
      <c r="A11" s="1" t="s">
        <v>9</v>
      </c>
      <c r="B11" s="1" t="s">
        <v>189</v>
      </c>
      <c r="C11" s="2" t="s">
        <v>24</v>
      </c>
      <c r="D11" s="2" t="s">
        <v>25</v>
      </c>
      <c r="E11" s="2" t="s">
        <v>27</v>
      </c>
      <c r="F11" s="1" t="s">
        <v>39</v>
      </c>
      <c r="G11" s="4" t="s">
        <v>47</v>
      </c>
    </row>
    <row r="12" spans="1:7" x14ac:dyDescent="0.3">
      <c r="A12" s="1" t="s">
        <v>10</v>
      </c>
      <c r="B12" s="1" t="s">
        <v>189</v>
      </c>
      <c r="C12" s="2" t="s">
        <v>24</v>
      </c>
      <c r="D12" s="2" t="s">
        <v>25</v>
      </c>
      <c r="E12" s="2" t="s">
        <v>27</v>
      </c>
      <c r="F12" s="1" t="s">
        <v>40</v>
      </c>
      <c r="G12" s="4" t="s">
        <v>47</v>
      </c>
    </row>
    <row r="13" spans="1:7" x14ac:dyDescent="0.3">
      <c r="A13" s="1" t="s">
        <v>11</v>
      </c>
      <c r="B13" s="1" t="s">
        <v>189</v>
      </c>
      <c r="C13" s="2" t="s">
        <v>24</v>
      </c>
      <c r="D13" s="2" t="s">
        <v>26</v>
      </c>
      <c r="E13" s="2" t="s">
        <v>27</v>
      </c>
      <c r="F13" s="1" t="s">
        <v>41</v>
      </c>
      <c r="G13" s="4" t="s">
        <v>47</v>
      </c>
    </row>
    <row r="14" spans="1:7" x14ac:dyDescent="0.3">
      <c r="A14" s="1" t="s">
        <v>12</v>
      </c>
      <c r="B14" s="1" t="s">
        <v>189</v>
      </c>
      <c r="C14" s="2" t="s">
        <v>24</v>
      </c>
      <c r="D14" s="2" t="s">
        <v>26</v>
      </c>
      <c r="E14" s="2" t="s">
        <v>27</v>
      </c>
      <c r="F14" s="1" t="s">
        <v>42</v>
      </c>
      <c r="G14" s="4" t="s">
        <v>47</v>
      </c>
    </row>
    <row r="15" spans="1:7" x14ac:dyDescent="0.3">
      <c r="A15" s="1" t="s">
        <v>13</v>
      </c>
      <c r="B15" s="1" t="s">
        <v>189</v>
      </c>
      <c r="C15" s="2" t="s">
        <v>24</v>
      </c>
      <c r="D15" s="2" t="s">
        <v>26</v>
      </c>
      <c r="E15" s="2" t="s">
        <v>27</v>
      </c>
      <c r="F15" s="1" t="s">
        <v>43</v>
      </c>
      <c r="G15" s="4" t="s">
        <v>47</v>
      </c>
    </row>
    <row r="16" spans="1:7" x14ac:dyDescent="0.3">
      <c r="A16" s="1" t="s">
        <v>14</v>
      </c>
      <c r="B16" s="1" t="s">
        <v>189</v>
      </c>
      <c r="C16" s="2" t="s">
        <v>24</v>
      </c>
      <c r="D16" s="2" t="s">
        <v>26</v>
      </c>
      <c r="E16" s="2" t="s">
        <v>27</v>
      </c>
      <c r="F16" s="1" t="s">
        <v>44</v>
      </c>
      <c r="G16" s="4" t="s">
        <v>47</v>
      </c>
    </row>
    <row r="17" spans="1:7" x14ac:dyDescent="0.3">
      <c r="A17" s="1" t="s">
        <v>15</v>
      </c>
      <c r="B17" s="1" t="s">
        <v>189</v>
      </c>
      <c r="C17" s="2" t="s">
        <v>24</v>
      </c>
      <c r="D17" s="2" t="s">
        <v>51</v>
      </c>
      <c r="E17" s="2" t="s">
        <v>27</v>
      </c>
      <c r="F17" s="1" t="s">
        <v>45</v>
      </c>
      <c r="G17" s="4" t="s">
        <v>48</v>
      </c>
    </row>
    <row r="18" spans="1:7" ht="28.2" x14ac:dyDescent="0.3">
      <c r="A18" s="1" t="s">
        <v>16</v>
      </c>
      <c r="B18" s="1" t="s">
        <v>204</v>
      </c>
      <c r="C18" s="2" t="s">
        <v>24</v>
      </c>
      <c r="D18" s="2" t="s">
        <v>57</v>
      </c>
      <c r="E18" s="2" t="s">
        <v>27</v>
      </c>
      <c r="F18" s="1" t="s">
        <v>206</v>
      </c>
      <c r="G18" s="4" t="s">
        <v>48</v>
      </c>
    </row>
    <row r="19" spans="1:7" ht="28.2" x14ac:dyDescent="0.3">
      <c r="A19" s="1" t="s">
        <v>209</v>
      </c>
      <c r="B19" s="1" t="s">
        <v>204</v>
      </c>
      <c r="C19" s="2" t="s">
        <v>24</v>
      </c>
      <c r="D19" s="2" t="s">
        <v>58</v>
      </c>
      <c r="E19" s="2" t="s">
        <v>27</v>
      </c>
      <c r="F19" s="1" t="s">
        <v>208</v>
      </c>
      <c r="G19" s="4" t="s">
        <v>48</v>
      </c>
    </row>
    <row r="20" spans="1:7" ht="28.2" x14ac:dyDescent="0.3">
      <c r="A20" s="1" t="s">
        <v>17</v>
      </c>
      <c r="B20" s="1" t="s">
        <v>204</v>
      </c>
      <c r="C20" s="2" t="s">
        <v>24</v>
      </c>
      <c r="D20" s="2" t="s">
        <v>59</v>
      </c>
      <c r="E20" s="2" t="s">
        <v>27</v>
      </c>
      <c r="F20" s="1" t="s">
        <v>205</v>
      </c>
      <c r="G20" s="4" t="s">
        <v>48</v>
      </c>
    </row>
    <row r="21" spans="1:7" ht="28.2" x14ac:dyDescent="0.3">
      <c r="A21" s="1" t="s">
        <v>18</v>
      </c>
      <c r="B21" s="1" t="s">
        <v>204</v>
      </c>
      <c r="C21" s="2" t="s">
        <v>24</v>
      </c>
      <c r="D21" s="2" t="s">
        <v>60</v>
      </c>
      <c r="E21" s="2" t="s">
        <v>27</v>
      </c>
      <c r="F21" s="1" t="s">
        <v>207</v>
      </c>
      <c r="G21" s="4" t="s">
        <v>48</v>
      </c>
    </row>
    <row r="22" spans="1:7" ht="28.2" x14ac:dyDescent="0.3">
      <c r="A22" s="1" t="s">
        <v>61</v>
      </c>
      <c r="B22" s="2" t="s">
        <v>190</v>
      </c>
      <c r="C22" s="2" t="s">
        <v>75</v>
      </c>
      <c r="D22" s="2" t="s">
        <v>102</v>
      </c>
      <c r="E22" s="2" t="s">
        <v>27</v>
      </c>
      <c r="F22" s="1" t="s">
        <v>76</v>
      </c>
      <c r="G22" s="3" t="s">
        <v>48</v>
      </c>
    </row>
    <row r="23" spans="1:7" ht="28.2" x14ac:dyDescent="0.3">
      <c r="A23" s="1" t="s">
        <v>62</v>
      </c>
      <c r="B23" s="2" t="s">
        <v>190</v>
      </c>
      <c r="C23" s="2" t="s">
        <v>75</v>
      </c>
      <c r="D23" s="2" t="s">
        <v>103</v>
      </c>
      <c r="E23" s="2" t="s">
        <v>27</v>
      </c>
      <c r="F23" s="1" t="s">
        <v>77</v>
      </c>
      <c r="G23" s="3" t="s">
        <v>48</v>
      </c>
    </row>
    <row r="24" spans="1:7" ht="28.2" x14ac:dyDescent="0.3">
      <c r="A24" s="1" t="s">
        <v>63</v>
      </c>
      <c r="B24" s="2" t="s">
        <v>190</v>
      </c>
      <c r="C24" s="2" t="s">
        <v>75</v>
      </c>
      <c r="D24" s="2" t="s">
        <v>104</v>
      </c>
      <c r="E24" s="2" t="s">
        <v>27</v>
      </c>
      <c r="F24" s="1" t="s">
        <v>78</v>
      </c>
      <c r="G24" s="3" t="s">
        <v>48</v>
      </c>
    </row>
    <row r="25" spans="1:7" ht="28.2" x14ac:dyDescent="0.3">
      <c r="A25" s="1" t="s">
        <v>64</v>
      </c>
      <c r="B25" s="2" t="s">
        <v>190</v>
      </c>
      <c r="C25" s="2" t="s">
        <v>75</v>
      </c>
      <c r="D25" s="2" t="s">
        <v>105</v>
      </c>
      <c r="E25" s="2" t="s">
        <v>27</v>
      </c>
      <c r="F25" s="1" t="s">
        <v>79</v>
      </c>
      <c r="G25" s="3" t="s">
        <v>48</v>
      </c>
    </row>
    <row r="26" spans="1:7" ht="28.2" x14ac:dyDescent="0.3">
      <c r="A26" s="1" t="s">
        <v>65</v>
      </c>
      <c r="B26" s="2" t="s">
        <v>190</v>
      </c>
      <c r="C26" s="2" t="s">
        <v>75</v>
      </c>
      <c r="D26" s="2" t="s">
        <v>106</v>
      </c>
      <c r="E26" s="2" t="s">
        <v>27</v>
      </c>
      <c r="F26" s="1" t="s">
        <v>80</v>
      </c>
      <c r="G26" s="3" t="s">
        <v>48</v>
      </c>
    </row>
    <row r="27" spans="1:7" ht="28.2" x14ac:dyDescent="0.3">
      <c r="A27" s="1" t="s">
        <v>66</v>
      </c>
      <c r="B27" s="2" t="s">
        <v>190</v>
      </c>
      <c r="C27" s="2" t="s">
        <v>75</v>
      </c>
      <c r="D27" s="2" t="s">
        <v>107</v>
      </c>
      <c r="E27" s="2" t="s">
        <v>27</v>
      </c>
      <c r="F27" s="1" t="s">
        <v>81</v>
      </c>
      <c r="G27" s="3" t="s">
        <v>48</v>
      </c>
    </row>
    <row r="28" spans="1:7" ht="28.2" x14ac:dyDescent="0.3">
      <c r="A28" s="1" t="s">
        <v>67</v>
      </c>
      <c r="B28" s="2" t="s">
        <v>190</v>
      </c>
      <c r="C28" s="2" t="s">
        <v>75</v>
      </c>
      <c r="D28" s="2" t="s">
        <v>108</v>
      </c>
      <c r="E28" s="2" t="s">
        <v>27</v>
      </c>
      <c r="F28" s="1" t="s">
        <v>82</v>
      </c>
      <c r="G28" s="3" t="s">
        <v>47</v>
      </c>
    </row>
    <row r="29" spans="1:7" ht="28.2" x14ac:dyDescent="0.3">
      <c r="A29" s="1" t="s">
        <v>68</v>
      </c>
      <c r="B29" s="2" t="s">
        <v>190</v>
      </c>
      <c r="C29" s="2" t="s">
        <v>75</v>
      </c>
      <c r="D29" s="2" t="s">
        <v>109</v>
      </c>
      <c r="E29" s="2" t="s">
        <v>27</v>
      </c>
      <c r="F29" s="1" t="s">
        <v>83</v>
      </c>
      <c r="G29" s="3" t="s">
        <v>48</v>
      </c>
    </row>
    <row r="30" spans="1:7" ht="28.2" x14ac:dyDescent="0.3">
      <c r="A30" s="1" t="s">
        <v>69</v>
      </c>
      <c r="B30" s="2" t="s">
        <v>190</v>
      </c>
      <c r="C30" s="2" t="s">
        <v>75</v>
      </c>
      <c r="D30" s="2" t="s">
        <v>110</v>
      </c>
      <c r="E30" s="2" t="s">
        <v>27</v>
      </c>
      <c r="F30" s="1" t="s">
        <v>84</v>
      </c>
      <c r="G30" s="3" t="s">
        <v>48</v>
      </c>
    </row>
    <row r="31" spans="1:7" ht="28.2" x14ac:dyDescent="0.3">
      <c r="A31" s="1" t="s">
        <v>70</v>
      </c>
      <c r="B31" s="2" t="s">
        <v>190</v>
      </c>
      <c r="C31" s="2" t="s">
        <v>75</v>
      </c>
      <c r="D31" s="2" t="s">
        <v>111</v>
      </c>
      <c r="E31" s="2" t="s">
        <v>27</v>
      </c>
      <c r="F31" s="1" t="s">
        <v>85</v>
      </c>
      <c r="G31" s="3" t="s">
        <v>48</v>
      </c>
    </row>
    <row r="32" spans="1:7" ht="28.2" x14ac:dyDescent="0.3">
      <c r="A32" s="1" t="s">
        <v>71</v>
      </c>
      <c r="B32" s="2" t="s">
        <v>190</v>
      </c>
      <c r="C32" s="2" t="s">
        <v>75</v>
      </c>
      <c r="D32" s="2" t="s">
        <v>112</v>
      </c>
      <c r="E32" s="2" t="s">
        <v>27</v>
      </c>
      <c r="F32" s="1" t="s">
        <v>86</v>
      </c>
      <c r="G32" s="3" t="s">
        <v>48</v>
      </c>
    </row>
    <row r="33" spans="1:7" ht="28.2" x14ac:dyDescent="0.3">
      <c r="A33" s="1" t="s">
        <v>72</v>
      </c>
      <c r="B33" s="2" t="s">
        <v>190</v>
      </c>
      <c r="C33" s="2" t="s">
        <v>75</v>
      </c>
      <c r="D33" s="2" t="s">
        <v>113</v>
      </c>
      <c r="E33" s="2" t="s">
        <v>27</v>
      </c>
      <c r="F33" s="1" t="s">
        <v>87</v>
      </c>
      <c r="G33" s="3" t="s">
        <v>48</v>
      </c>
    </row>
    <row r="34" spans="1:7" ht="28.2" x14ac:dyDescent="0.3">
      <c r="A34" s="1" t="s">
        <v>73</v>
      </c>
      <c r="B34" s="2" t="s">
        <v>190</v>
      </c>
      <c r="C34" s="2" t="s">
        <v>75</v>
      </c>
      <c r="D34" s="2" t="s">
        <v>114</v>
      </c>
      <c r="E34" s="2" t="s">
        <v>27</v>
      </c>
      <c r="F34" s="1" t="s">
        <v>88</v>
      </c>
      <c r="G34" s="3" t="s">
        <v>48</v>
      </c>
    </row>
    <row r="35" spans="1:7" ht="28.2" x14ac:dyDescent="0.3">
      <c r="A35" s="1" t="s">
        <v>74</v>
      </c>
      <c r="B35" s="2" t="s">
        <v>190</v>
      </c>
      <c r="C35" s="2" t="s">
        <v>75</v>
      </c>
      <c r="D35" s="2" t="s">
        <v>115</v>
      </c>
      <c r="E35" s="2" t="s">
        <v>27</v>
      </c>
      <c r="F35" s="1" t="s">
        <v>89</v>
      </c>
      <c r="G35" s="3" t="s">
        <v>48</v>
      </c>
    </row>
    <row r="36" spans="1:7" x14ac:dyDescent="0.3">
      <c r="A36" s="1" t="s">
        <v>90</v>
      </c>
      <c r="B36" s="2" t="s">
        <v>192</v>
      </c>
      <c r="C36" s="2" t="s">
        <v>101</v>
      </c>
      <c r="D36" s="2" t="s">
        <v>100</v>
      </c>
      <c r="E36" s="2" t="s">
        <v>27</v>
      </c>
      <c r="F36" s="1" t="s">
        <v>95</v>
      </c>
      <c r="G36" s="3" t="s">
        <v>47</v>
      </c>
    </row>
    <row r="37" spans="1:7" x14ac:dyDescent="0.3">
      <c r="A37" s="1" t="s">
        <v>91</v>
      </c>
      <c r="B37" s="2" t="s">
        <v>192</v>
      </c>
      <c r="C37" s="2" t="s">
        <v>101</v>
      </c>
      <c r="D37" s="2" t="s">
        <v>28</v>
      </c>
      <c r="E37" s="2" t="s">
        <v>27</v>
      </c>
      <c r="F37" s="1" t="s">
        <v>96</v>
      </c>
      <c r="G37" s="3" t="s">
        <v>48</v>
      </c>
    </row>
    <row r="38" spans="1:7" x14ac:dyDescent="0.3">
      <c r="A38" s="1" t="s">
        <v>92</v>
      </c>
      <c r="B38" s="2" t="s">
        <v>192</v>
      </c>
      <c r="C38" s="2" t="s">
        <v>101</v>
      </c>
      <c r="D38" s="2" t="s">
        <v>26</v>
      </c>
      <c r="E38" s="2" t="s">
        <v>27</v>
      </c>
      <c r="F38" s="1" t="s">
        <v>97</v>
      </c>
      <c r="G38" s="3" t="s">
        <v>47</v>
      </c>
    </row>
    <row r="39" spans="1:7" x14ac:dyDescent="0.3">
      <c r="A39" s="1" t="s">
        <v>93</v>
      </c>
      <c r="B39" s="2" t="s">
        <v>192</v>
      </c>
      <c r="C39" s="2" t="s">
        <v>101</v>
      </c>
      <c r="D39" s="2" t="s">
        <v>25</v>
      </c>
      <c r="E39" s="2" t="s">
        <v>27</v>
      </c>
      <c r="F39" s="1" t="s">
        <v>98</v>
      </c>
      <c r="G39" s="3" t="s">
        <v>47</v>
      </c>
    </row>
    <row r="40" spans="1:7" x14ac:dyDescent="0.3">
      <c r="A40" s="1" t="s">
        <v>94</v>
      </c>
      <c r="B40" s="2" t="s">
        <v>192</v>
      </c>
      <c r="C40" s="2" t="s">
        <v>101</v>
      </c>
      <c r="D40" s="2" t="s">
        <v>29</v>
      </c>
      <c r="E40" s="2" t="s">
        <v>27</v>
      </c>
      <c r="F40" s="1" t="s">
        <v>99</v>
      </c>
      <c r="G40" s="3" t="s">
        <v>47</v>
      </c>
    </row>
    <row r="41" spans="1:7" ht="28.2" x14ac:dyDescent="0.3">
      <c r="A41" s="1" t="s">
        <v>176</v>
      </c>
      <c r="B41" s="2" t="s">
        <v>192</v>
      </c>
      <c r="C41" s="2" t="s">
        <v>101</v>
      </c>
      <c r="D41" s="2" t="s">
        <v>159</v>
      </c>
      <c r="E41" s="2" t="s">
        <v>27</v>
      </c>
      <c r="F41" s="1" t="s">
        <v>175</v>
      </c>
      <c r="G41" s="3" t="s">
        <v>48</v>
      </c>
    </row>
    <row r="42" spans="1:7" ht="28.2" x14ac:dyDescent="0.3">
      <c r="A42" s="1" t="s">
        <v>116</v>
      </c>
      <c r="B42" s="2" t="s">
        <v>191</v>
      </c>
      <c r="C42" s="2" t="s">
        <v>75</v>
      </c>
      <c r="D42" s="2" t="s">
        <v>130</v>
      </c>
      <c r="E42" s="2" t="s">
        <v>49</v>
      </c>
      <c r="F42" s="1" t="s">
        <v>76</v>
      </c>
      <c r="G42" s="3" t="s">
        <v>48</v>
      </c>
    </row>
    <row r="43" spans="1:7" ht="28.2" x14ac:dyDescent="0.3">
      <c r="A43" s="1" t="s">
        <v>117</v>
      </c>
      <c r="B43" s="2" t="s">
        <v>191</v>
      </c>
      <c r="C43" s="2" t="s">
        <v>75</v>
      </c>
      <c r="D43" s="2" t="s">
        <v>131</v>
      </c>
      <c r="E43" s="2" t="s">
        <v>49</v>
      </c>
      <c r="F43" s="1" t="s">
        <v>77</v>
      </c>
      <c r="G43" s="3" t="s">
        <v>48</v>
      </c>
    </row>
    <row r="44" spans="1:7" ht="28.2" x14ac:dyDescent="0.3">
      <c r="A44" s="1" t="s">
        <v>118</v>
      </c>
      <c r="B44" s="2" t="s">
        <v>191</v>
      </c>
      <c r="C44" s="2" t="s">
        <v>75</v>
      </c>
      <c r="D44" s="2" t="s">
        <v>132</v>
      </c>
      <c r="E44" s="2" t="s">
        <v>49</v>
      </c>
      <c r="F44" s="1" t="s">
        <v>78</v>
      </c>
      <c r="G44" s="3" t="s">
        <v>48</v>
      </c>
    </row>
    <row r="45" spans="1:7" ht="28.2" x14ac:dyDescent="0.3">
      <c r="A45" s="1" t="s">
        <v>119</v>
      </c>
      <c r="B45" s="2" t="s">
        <v>191</v>
      </c>
      <c r="C45" s="2" t="s">
        <v>75</v>
      </c>
      <c r="D45" s="2" t="s">
        <v>133</v>
      </c>
      <c r="E45" s="2" t="s">
        <v>49</v>
      </c>
      <c r="F45" s="1" t="s">
        <v>79</v>
      </c>
      <c r="G45" s="3" t="s">
        <v>48</v>
      </c>
    </row>
    <row r="46" spans="1:7" ht="28.2" x14ac:dyDescent="0.3">
      <c r="A46" s="1" t="s">
        <v>120</v>
      </c>
      <c r="B46" s="2" t="s">
        <v>191</v>
      </c>
      <c r="C46" s="2" t="s">
        <v>75</v>
      </c>
      <c r="D46" s="2" t="s">
        <v>134</v>
      </c>
      <c r="E46" s="2" t="s">
        <v>49</v>
      </c>
      <c r="F46" s="1" t="s">
        <v>80</v>
      </c>
      <c r="G46" s="3" t="s">
        <v>48</v>
      </c>
    </row>
    <row r="47" spans="1:7" ht="28.2" x14ac:dyDescent="0.3">
      <c r="A47" s="1" t="s">
        <v>121</v>
      </c>
      <c r="B47" s="2" t="s">
        <v>191</v>
      </c>
      <c r="C47" s="2" t="s">
        <v>75</v>
      </c>
      <c r="D47" s="2" t="s">
        <v>135</v>
      </c>
      <c r="E47" s="2" t="s">
        <v>49</v>
      </c>
      <c r="F47" s="1" t="s">
        <v>81</v>
      </c>
      <c r="G47" s="3" t="s">
        <v>48</v>
      </c>
    </row>
    <row r="48" spans="1:7" ht="28.2" x14ac:dyDescent="0.3">
      <c r="A48" s="1" t="s">
        <v>122</v>
      </c>
      <c r="B48" s="2" t="s">
        <v>191</v>
      </c>
      <c r="C48" s="2" t="s">
        <v>75</v>
      </c>
      <c r="D48" s="2" t="s">
        <v>136</v>
      </c>
      <c r="E48" s="2" t="s">
        <v>49</v>
      </c>
      <c r="F48" s="1" t="s">
        <v>82</v>
      </c>
      <c r="G48" s="3" t="s">
        <v>48</v>
      </c>
    </row>
    <row r="49" spans="1:7" ht="28.2" x14ac:dyDescent="0.3">
      <c r="A49" s="1" t="s">
        <v>123</v>
      </c>
      <c r="B49" s="2" t="s">
        <v>191</v>
      </c>
      <c r="C49" s="2" t="s">
        <v>75</v>
      </c>
      <c r="D49" s="2" t="s">
        <v>137</v>
      </c>
      <c r="E49" s="2" t="s">
        <v>49</v>
      </c>
      <c r="F49" s="1" t="s">
        <v>83</v>
      </c>
      <c r="G49" s="3" t="s">
        <v>48</v>
      </c>
    </row>
    <row r="50" spans="1:7" ht="28.2" x14ac:dyDescent="0.3">
      <c r="A50" s="1" t="s">
        <v>124</v>
      </c>
      <c r="B50" s="2" t="s">
        <v>191</v>
      </c>
      <c r="C50" s="2" t="s">
        <v>75</v>
      </c>
      <c r="D50" s="2" t="s">
        <v>138</v>
      </c>
      <c r="E50" s="2" t="s">
        <v>49</v>
      </c>
      <c r="F50" s="1" t="s">
        <v>84</v>
      </c>
      <c r="G50" s="3" t="s">
        <v>48</v>
      </c>
    </row>
    <row r="51" spans="1:7" ht="28.2" x14ac:dyDescent="0.3">
      <c r="A51" s="1" t="s">
        <v>125</v>
      </c>
      <c r="B51" s="2" t="s">
        <v>191</v>
      </c>
      <c r="C51" s="2" t="s">
        <v>75</v>
      </c>
      <c r="D51" s="2" t="s">
        <v>139</v>
      </c>
      <c r="E51" s="2" t="s">
        <v>49</v>
      </c>
      <c r="F51" s="1" t="s">
        <v>85</v>
      </c>
      <c r="G51" s="3" t="s">
        <v>48</v>
      </c>
    </row>
    <row r="52" spans="1:7" ht="28.2" x14ac:dyDescent="0.3">
      <c r="A52" s="1" t="s">
        <v>126</v>
      </c>
      <c r="B52" s="2" t="s">
        <v>191</v>
      </c>
      <c r="C52" s="2" t="s">
        <v>75</v>
      </c>
      <c r="D52" s="2" t="s">
        <v>140</v>
      </c>
      <c r="E52" s="2" t="s">
        <v>49</v>
      </c>
      <c r="F52" s="1" t="s">
        <v>86</v>
      </c>
      <c r="G52" s="3" t="s">
        <v>48</v>
      </c>
    </row>
    <row r="53" spans="1:7" ht="28.2" x14ac:dyDescent="0.3">
      <c r="A53" s="1" t="s">
        <v>127</v>
      </c>
      <c r="B53" s="2" t="s">
        <v>191</v>
      </c>
      <c r="C53" s="2" t="s">
        <v>75</v>
      </c>
      <c r="D53" s="2" t="s">
        <v>141</v>
      </c>
      <c r="E53" s="2" t="s">
        <v>49</v>
      </c>
      <c r="F53" s="1" t="s">
        <v>87</v>
      </c>
      <c r="G53" s="3" t="s">
        <v>48</v>
      </c>
    </row>
    <row r="54" spans="1:7" ht="28.2" x14ac:dyDescent="0.3">
      <c r="A54" s="1" t="s">
        <v>128</v>
      </c>
      <c r="B54" s="2" t="s">
        <v>191</v>
      </c>
      <c r="C54" s="2" t="s">
        <v>75</v>
      </c>
      <c r="D54" s="2" t="s">
        <v>142</v>
      </c>
      <c r="E54" s="2" t="s">
        <v>49</v>
      </c>
      <c r="F54" s="1" t="s">
        <v>88</v>
      </c>
      <c r="G54" s="3" t="s">
        <v>48</v>
      </c>
    </row>
    <row r="55" spans="1:7" ht="28.2" x14ac:dyDescent="0.3">
      <c r="A55" s="1" t="s">
        <v>129</v>
      </c>
      <c r="B55" s="2" t="s">
        <v>191</v>
      </c>
      <c r="C55" s="2" t="s">
        <v>75</v>
      </c>
      <c r="D55" s="2" t="s">
        <v>143</v>
      </c>
      <c r="E55" s="2" t="s">
        <v>49</v>
      </c>
      <c r="F55" s="1" t="s">
        <v>89</v>
      </c>
      <c r="G55" s="3" t="s">
        <v>48</v>
      </c>
    </row>
    <row r="56" spans="1:7" x14ac:dyDescent="0.3">
      <c r="A56" s="2" t="s">
        <v>145</v>
      </c>
      <c r="B56" s="2" t="s">
        <v>146</v>
      </c>
      <c r="C56" s="2" t="s">
        <v>101</v>
      </c>
      <c r="D56" s="2" t="s">
        <v>147</v>
      </c>
      <c r="E56" s="2" t="s">
        <v>49</v>
      </c>
      <c r="F56" s="2" t="s">
        <v>148</v>
      </c>
      <c r="G56" s="3" t="s">
        <v>177</v>
      </c>
    </row>
    <row r="57" spans="1:7" x14ac:dyDescent="0.3">
      <c r="A57" s="1" t="s">
        <v>149</v>
      </c>
      <c r="B57" s="2" t="s">
        <v>150</v>
      </c>
      <c r="C57" s="2" t="s">
        <v>151</v>
      </c>
      <c r="D57" s="2" t="s">
        <v>152</v>
      </c>
      <c r="E57" s="2" t="s">
        <v>27</v>
      </c>
      <c r="F57" s="1" t="s">
        <v>153</v>
      </c>
      <c r="G57" s="3" t="s">
        <v>48</v>
      </c>
    </row>
    <row r="58" spans="1:7" x14ac:dyDescent="0.3">
      <c r="A58" s="1" t="s">
        <v>156</v>
      </c>
      <c r="B58" s="2" t="s">
        <v>150</v>
      </c>
      <c r="C58" s="2" t="s">
        <v>151</v>
      </c>
      <c r="D58" s="2" t="s">
        <v>157</v>
      </c>
      <c r="E58" s="2" t="s">
        <v>49</v>
      </c>
      <c r="F58" s="1" t="s">
        <v>158</v>
      </c>
      <c r="G58" s="3" t="s">
        <v>48</v>
      </c>
    </row>
    <row r="59" spans="1:7" x14ac:dyDescent="0.3">
      <c r="A59" s="1" t="s">
        <v>160</v>
      </c>
      <c r="B59" s="2" t="s">
        <v>150</v>
      </c>
      <c r="C59" s="2" t="s">
        <v>151</v>
      </c>
      <c r="D59" s="2" t="s">
        <v>161</v>
      </c>
      <c r="E59" s="2" t="s">
        <v>179</v>
      </c>
      <c r="F59" s="1" t="s">
        <v>162</v>
      </c>
      <c r="G59" s="3" t="s">
        <v>48</v>
      </c>
    </row>
    <row r="60" spans="1:7" x14ac:dyDescent="0.3">
      <c r="A60" s="1" t="s">
        <v>154</v>
      </c>
      <c r="B60" s="2" t="s">
        <v>150</v>
      </c>
      <c r="C60" s="2" t="s">
        <v>151</v>
      </c>
      <c r="D60" s="2" t="s">
        <v>159</v>
      </c>
      <c r="E60" s="2" t="s">
        <v>27</v>
      </c>
      <c r="F60" s="1" t="s">
        <v>155</v>
      </c>
      <c r="G60" s="3" t="s">
        <v>48</v>
      </c>
    </row>
    <row r="61" spans="1:7" x14ac:dyDescent="0.3">
      <c r="A61" s="1" t="s">
        <v>167</v>
      </c>
      <c r="B61" s="2" t="s">
        <v>150</v>
      </c>
      <c r="C61" s="2" t="s">
        <v>151</v>
      </c>
      <c r="D61" s="2" t="s">
        <v>159</v>
      </c>
      <c r="E61" s="2" t="s">
        <v>49</v>
      </c>
      <c r="F61" s="1" t="s">
        <v>168</v>
      </c>
      <c r="G61" s="3" t="s">
        <v>48</v>
      </c>
    </row>
    <row r="62" spans="1:7" x14ac:dyDescent="0.3">
      <c r="A62" s="1" t="s">
        <v>163</v>
      </c>
      <c r="B62" s="2" t="s">
        <v>150</v>
      </c>
      <c r="C62" s="2" t="s">
        <v>151</v>
      </c>
      <c r="D62" s="2" t="s">
        <v>107</v>
      </c>
      <c r="E62" s="2" t="s">
        <v>27</v>
      </c>
      <c r="F62" s="1" t="s">
        <v>164</v>
      </c>
      <c r="G62" s="3" t="s">
        <v>48</v>
      </c>
    </row>
    <row r="63" spans="1:7" x14ac:dyDescent="0.3">
      <c r="A63" s="1" t="s">
        <v>165</v>
      </c>
      <c r="B63" s="2" t="s">
        <v>150</v>
      </c>
      <c r="C63" s="2" t="s">
        <v>151</v>
      </c>
      <c r="D63" s="2" t="s">
        <v>107</v>
      </c>
      <c r="E63" s="2" t="s">
        <v>49</v>
      </c>
      <c r="F63" s="1" t="s">
        <v>166</v>
      </c>
      <c r="G63" s="3" t="s">
        <v>48</v>
      </c>
    </row>
    <row r="64" spans="1:7" x14ac:dyDescent="0.3">
      <c r="A64" s="1" t="s">
        <v>169</v>
      </c>
      <c r="B64" s="2" t="s">
        <v>150</v>
      </c>
      <c r="C64" s="2" t="s">
        <v>151</v>
      </c>
      <c r="D64" s="2" t="s">
        <v>29</v>
      </c>
      <c r="E64" s="2" t="s">
        <v>27</v>
      </c>
      <c r="F64" s="1" t="s">
        <v>170</v>
      </c>
      <c r="G64" s="3" t="s">
        <v>48</v>
      </c>
    </row>
    <row r="65" spans="1:7" ht="28.2" x14ac:dyDescent="0.3">
      <c r="A65" s="1" t="s">
        <v>174</v>
      </c>
      <c r="B65" s="2" t="s">
        <v>193</v>
      </c>
      <c r="C65" s="2" t="s">
        <v>101</v>
      </c>
      <c r="D65" s="2" t="s">
        <v>107</v>
      </c>
      <c r="E65" s="2" t="s">
        <v>27</v>
      </c>
      <c r="F65" s="1" t="s">
        <v>171</v>
      </c>
      <c r="G65" s="3" t="s">
        <v>48</v>
      </c>
    </row>
    <row r="66" spans="1:7" ht="28.2" x14ac:dyDescent="0.3">
      <c r="A66" s="1" t="s">
        <v>172</v>
      </c>
      <c r="B66" s="2" t="s">
        <v>193</v>
      </c>
      <c r="C66" s="2" t="s">
        <v>101</v>
      </c>
      <c r="D66" s="2" t="s">
        <v>107</v>
      </c>
      <c r="E66" s="2" t="s">
        <v>49</v>
      </c>
      <c r="F66" s="1" t="s">
        <v>173</v>
      </c>
      <c r="G66" s="3" t="s">
        <v>48</v>
      </c>
    </row>
    <row r="67" spans="1:7" ht="28.2" x14ac:dyDescent="0.3">
      <c r="A67" s="1" t="s">
        <v>178</v>
      </c>
      <c r="B67" s="2" t="s">
        <v>194</v>
      </c>
      <c r="C67" s="2" t="s">
        <v>101</v>
      </c>
      <c r="D67" s="2" t="s">
        <v>159</v>
      </c>
      <c r="E67" s="2" t="s">
        <v>49</v>
      </c>
      <c r="F67" s="2" t="s">
        <v>148</v>
      </c>
      <c r="G67" s="3" t="s">
        <v>48</v>
      </c>
    </row>
    <row r="68" spans="1:7" x14ac:dyDescent="0.3">
      <c r="A68" s="1" t="s">
        <v>182</v>
      </c>
      <c r="B68" s="2" t="s">
        <v>195</v>
      </c>
      <c r="C68" s="2" t="s">
        <v>183</v>
      </c>
      <c r="D68" s="2" t="s">
        <v>161</v>
      </c>
      <c r="E68" s="2" t="s">
        <v>179</v>
      </c>
      <c r="F68" s="1" t="s">
        <v>181</v>
      </c>
      <c r="G68" s="3" t="s">
        <v>48</v>
      </c>
    </row>
    <row r="69" spans="1:7" x14ac:dyDescent="0.3">
      <c r="A69" s="1" t="s">
        <v>180</v>
      </c>
      <c r="B69" s="2" t="s">
        <v>195</v>
      </c>
      <c r="C69" s="2" t="s">
        <v>101</v>
      </c>
      <c r="D69" s="2" t="s">
        <v>161</v>
      </c>
      <c r="E69" s="2" t="s">
        <v>179</v>
      </c>
      <c r="F69" s="1" t="s">
        <v>184</v>
      </c>
      <c r="G69" s="3" t="s">
        <v>48</v>
      </c>
    </row>
    <row r="70" spans="1:7" x14ac:dyDescent="0.3">
      <c r="A70" s="1" t="s">
        <v>185</v>
      </c>
      <c r="B70" s="2" t="s">
        <v>186</v>
      </c>
      <c r="C70" s="2" t="s">
        <v>187</v>
      </c>
      <c r="D70" s="2" t="s">
        <v>161</v>
      </c>
      <c r="E70" s="2" t="s">
        <v>179</v>
      </c>
      <c r="F70" s="1" t="s">
        <v>188</v>
      </c>
      <c r="G70" s="3" t="s">
        <v>48</v>
      </c>
    </row>
    <row r="71" spans="1:7" ht="28.2" x14ac:dyDescent="0.3">
      <c r="A71" s="1" t="s">
        <v>196</v>
      </c>
      <c r="B71" t="s">
        <v>199</v>
      </c>
      <c r="C71" s="2" t="s">
        <v>200</v>
      </c>
      <c r="D71" t="s">
        <v>157</v>
      </c>
      <c r="E71" s="2" t="s">
        <v>49</v>
      </c>
      <c r="F71" t="s">
        <v>201</v>
      </c>
      <c r="G71" s="3" t="s">
        <v>48</v>
      </c>
    </row>
    <row r="72" spans="1:7" ht="28.2" x14ac:dyDescent="0.3">
      <c r="A72" s="1" t="s">
        <v>197</v>
      </c>
      <c r="B72" t="str">
        <f>B71</f>
        <v>GNSS_RM2</v>
      </c>
      <c r="C72" s="2" t="s">
        <v>200</v>
      </c>
      <c r="D72" s="2" t="s">
        <v>152</v>
      </c>
      <c r="E72" s="2" t="s">
        <v>27</v>
      </c>
      <c r="F72" t="s">
        <v>202</v>
      </c>
      <c r="G72" s="3" t="s">
        <v>48</v>
      </c>
    </row>
    <row r="73" spans="1:7" x14ac:dyDescent="0.3">
      <c r="A73" s="1" t="s">
        <v>198</v>
      </c>
      <c r="B73" t="str">
        <f>B72</f>
        <v>GNSS_RM2</v>
      </c>
      <c r="C73" s="2" t="s">
        <v>200</v>
      </c>
      <c r="D73" s="2" t="s">
        <v>161</v>
      </c>
      <c r="E73" s="2" t="s">
        <v>179</v>
      </c>
      <c r="F73" t="s">
        <v>203</v>
      </c>
      <c r="G73" s="3" t="s">
        <v>48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29CBF-FD99-460C-8864-E8595326142A}">
  <dimension ref="A1:F73"/>
  <sheetViews>
    <sheetView tabSelected="1" topLeftCell="B1" workbookViewId="0">
      <selection activeCell="G6" sqref="G6"/>
    </sheetView>
  </sheetViews>
  <sheetFormatPr defaultRowHeight="14.4" x14ac:dyDescent="0.3"/>
  <cols>
    <col min="1" max="1" width="43.77734375" bestFit="1" customWidth="1"/>
    <col min="2" max="2" width="16.109375" bestFit="1" customWidth="1"/>
    <col min="3" max="3" width="37.77734375" bestFit="1" customWidth="1"/>
    <col min="4" max="4" width="89.88671875" bestFit="1" customWidth="1"/>
    <col min="5" max="5" width="20" bestFit="1" customWidth="1"/>
    <col min="6" max="6" width="20.33203125" bestFit="1" customWidth="1"/>
  </cols>
  <sheetData>
    <row r="1" spans="1:6" x14ac:dyDescent="0.3">
      <c r="A1" t="s">
        <v>19</v>
      </c>
      <c r="B1" t="s">
        <v>144</v>
      </c>
      <c r="C1" t="s">
        <v>23</v>
      </c>
      <c r="D1" t="s">
        <v>210</v>
      </c>
      <c r="E1" t="s">
        <v>211</v>
      </c>
      <c r="F1" t="s">
        <v>212</v>
      </c>
    </row>
    <row r="2" spans="1:6" x14ac:dyDescent="0.3">
      <c r="A2" t="s">
        <v>0</v>
      </c>
      <c r="B2" t="s">
        <v>189</v>
      </c>
      <c r="C2" t="s">
        <v>30</v>
      </c>
      <c r="D2" t="s">
        <v>213</v>
      </c>
      <c r="E2">
        <v>3.98</v>
      </c>
      <c r="F2">
        <v>-38.1</v>
      </c>
    </row>
    <row r="3" spans="1:6" x14ac:dyDescent="0.3">
      <c r="A3" t="s">
        <v>1</v>
      </c>
      <c r="B3" t="s">
        <v>189</v>
      </c>
      <c r="C3" t="s">
        <v>31</v>
      </c>
      <c r="D3" t="s">
        <v>213</v>
      </c>
      <c r="E3">
        <v>3.98</v>
      </c>
      <c r="F3">
        <v>-38.1</v>
      </c>
    </row>
    <row r="4" spans="1:6" x14ac:dyDescent="0.3">
      <c r="A4" t="s">
        <v>2</v>
      </c>
      <c r="B4" t="s">
        <v>189</v>
      </c>
      <c r="C4" t="s">
        <v>32</v>
      </c>
      <c r="D4" t="s">
        <v>213</v>
      </c>
      <c r="E4">
        <v>3.98</v>
      </c>
      <c r="F4">
        <v>-38.1</v>
      </c>
    </row>
    <row r="5" spans="1:6" x14ac:dyDescent="0.3">
      <c r="A5" t="s">
        <v>3</v>
      </c>
      <c r="B5" t="s">
        <v>189</v>
      </c>
      <c r="C5" t="s">
        <v>33</v>
      </c>
      <c r="D5" t="s">
        <v>213</v>
      </c>
      <c r="E5">
        <v>3.98</v>
      </c>
      <c r="F5">
        <v>-38.1</v>
      </c>
    </row>
    <row r="6" spans="1:6" x14ac:dyDescent="0.3">
      <c r="A6" t="s">
        <v>4</v>
      </c>
      <c r="B6" t="s">
        <v>189</v>
      </c>
      <c r="C6" t="s">
        <v>34</v>
      </c>
      <c r="D6" t="s">
        <v>214</v>
      </c>
      <c r="E6">
        <v>3.1819999999999999</v>
      </c>
      <c r="F6">
        <v>-25.65</v>
      </c>
    </row>
    <row r="7" spans="1:6" x14ac:dyDescent="0.3">
      <c r="A7" t="s">
        <v>5</v>
      </c>
      <c r="B7" t="s">
        <v>189</v>
      </c>
      <c r="C7" t="s">
        <v>35</v>
      </c>
      <c r="D7" t="s">
        <v>213</v>
      </c>
      <c r="E7">
        <v>3.1819999999999999</v>
      </c>
      <c r="F7">
        <v>-25.65</v>
      </c>
    </row>
    <row r="8" spans="1:6" x14ac:dyDescent="0.3">
      <c r="A8" t="s">
        <v>6</v>
      </c>
      <c r="B8" t="s">
        <v>189</v>
      </c>
      <c r="C8" t="s">
        <v>36</v>
      </c>
      <c r="D8" t="s">
        <v>214</v>
      </c>
      <c r="E8">
        <v>3.1819999999999999</v>
      </c>
      <c r="F8">
        <v>-25.65</v>
      </c>
    </row>
    <row r="9" spans="1:6" x14ac:dyDescent="0.3">
      <c r="A9" t="s">
        <v>7</v>
      </c>
      <c r="B9" t="s">
        <v>189</v>
      </c>
      <c r="C9" t="s">
        <v>37</v>
      </c>
      <c r="D9" t="s">
        <v>213</v>
      </c>
      <c r="E9">
        <v>3.1819999999999999</v>
      </c>
      <c r="F9">
        <v>-25.65</v>
      </c>
    </row>
    <row r="10" spans="1:6" x14ac:dyDescent="0.3">
      <c r="A10" t="s">
        <v>8</v>
      </c>
      <c r="B10" t="s">
        <v>189</v>
      </c>
      <c r="C10" t="s">
        <v>38</v>
      </c>
      <c r="D10" t="s">
        <v>213</v>
      </c>
      <c r="E10">
        <v>3.98</v>
      </c>
      <c r="F10">
        <v>-38.1</v>
      </c>
    </row>
    <row r="11" spans="1:6" x14ac:dyDescent="0.3">
      <c r="A11" t="s">
        <v>9</v>
      </c>
      <c r="B11" t="s">
        <v>189</v>
      </c>
      <c r="C11" t="s">
        <v>39</v>
      </c>
      <c r="D11" t="s">
        <v>213</v>
      </c>
      <c r="E11">
        <v>3.98</v>
      </c>
      <c r="F11">
        <v>-38.1</v>
      </c>
    </row>
    <row r="12" spans="1:6" x14ac:dyDescent="0.3">
      <c r="A12" t="s">
        <v>10</v>
      </c>
      <c r="B12" t="s">
        <v>189</v>
      </c>
      <c r="C12" t="s">
        <v>40</v>
      </c>
      <c r="D12" t="s">
        <v>213</v>
      </c>
      <c r="E12">
        <v>3.98</v>
      </c>
      <c r="F12">
        <v>-38.1</v>
      </c>
    </row>
    <row r="13" spans="1:6" x14ac:dyDescent="0.3">
      <c r="A13" t="s">
        <v>11</v>
      </c>
      <c r="B13" t="s">
        <v>189</v>
      </c>
      <c r="C13" t="s">
        <v>41</v>
      </c>
      <c r="D13" t="s">
        <v>213</v>
      </c>
      <c r="E13">
        <v>3.98</v>
      </c>
      <c r="F13">
        <v>-38.1</v>
      </c>
    </row>
    <row r="14" spans="1:6" x14ac:dyDescent="0.3">
      <c r="A14" t="s">
        <v>12</v>
      </c>
      <c r="B14" t="s">
        <v>189</v>
      </c>
      <c r="C14" t="s">
        <v>42</v>
      </c>
      <c r="D14" t="s">
        <v>213</v>
      </c>
      <c r="E14">
        <v>3.98</v>
      </c>
      <c r="F14">
        <v>-38.1</v>
      </c>
    </row>
    <row r="15" spans="1:6" x14ac:dyDescent="0.3">
      <c r="A15" t="s">
        <v>13</v>
      </c>
      <c r="B15" t="s">
        <v>189</v>
      </c>
      <c r="C15" t="s">
        <v>43</v>
      </c>
      <c r="D15" t="s">
        <v>213</v>
      </c>
      <c r="E15">
        <v>3.98</v>
      </c>
      <c r="F15">
        <v>-38.1</v>
      </c>
    </row>
    <row r="16" spans="1:6" x14ac:dyDescent="0.3">
      <c r="A16" t="s">
        <v>14</v>
      </c>
      <c r="B16" t="s">
        <v>189</v>
      </c>
      <c r="C16" t="s">
        <v>44</v>
      </c>
      <c r="D16" t="s">
        <v>213</v>
      </c>
      <c r="E16">
        <v>3.98</v>
      </c>
      <c r="F16">
        <v>-38.1</v>
      </c>
    </row>
    <row r="17" spans="1:6" x14ac:dyDescent="0.3">
      <c r="A17" t="s">
        <v>15</v>
      </c>
      <c r="B17" t="s">
        <v>189</v>
      </c>
      <c r="C17" t="s">
        <v>45</v>
      </c>
      <c r="D17" t="s">
        <v>213</v>
      </c>
      <c r="E17">
        <v>3.98</v>
      </c>
      <c r="F17">
        <v>-38.1</v>
      </c>
    </row>
    <row r="18" spans="1:6" x14ac:dyDescent="0.3">
      <c r="A18" t="s">
        <v>16</v>
      </c>
      <c r="B18" t="s">
        <v>204</v>
      </c>
      <c r="C18" t="s">
        <v>206</v>
      </c>
      <c r="D18" t="s">
        <v>215</v>
      </c>
      <c r="E18">
        <v>3.1819999999999999</v>
      </c>
      <c r="F18">
        <v>-25.65</v>
      </c>
    </row>
    <row r="19" spans="1:6" x14ac:dyDescent="0.3">
      <c r="A19" t="s">
        <v>209</v>
      </c>
      <c r="B19" t="s">
        <v>204</v>
      </c>
      <c r="C19" t="s">
        <v>208</v>
      </c>
      <c r="D19" t="s">
        <v>216</v>
      </c>
      <c r="E19">
        <v>3.1819999999999999</v>
      </c>
      <c r="F19">
        <v>-25.65</v>
      </c>
    </row>
    <row r="20" spans="1:6" x14ac:dyDescent="0.3">
      <c r="A20" t="s">
        <v>17</v>
      </c>
      <c r="B20" t="s">
        <v>204</v>
      </c>
      <c r="C20" t="s">
        <v>205</v>
      </c>
      <c r="D20" t="s">
        <v>217</v>
      </c>
      <c r="E20">
        <v>3.1819999999999999</v>
      </c>
      <c r="F20">
        <v>-25.65</v>
      </c>
    </row>
    <row r="21" spans="1:6" x14ac:dyDescent="0.3">
      <c r="A21" t="s">
        <v>18</v>
      </c>
      <c r="B21" t="s">
        <v>204</v>
      </c>
      <c r="C21" t="s">
        <v>207</v>
      </c>
      <c r="D21" t="s">
        <v>218</v>
      </c>
      <c r="E21">
        <v>3.1819999999999999</v>
      </c>
      <c r="F21">
        <v>-25.65</v>
      </c>
    </row>
    <row r="22" spans="1:6" x14ac:dyDescent="0.3">
      <c r="A22" t="s">
        <v>61</v>
      </c>
      <c r="B22" t="s">
        <v>190</v>
      </c>
      <c r="C22" t="s">
        <v>76</v>
      </c>
      <c r="D22" t="s">
        <v>219</v>
      </c>
      <c r="E22">
        <v>148.4</v>
      </c>
      <c r="F22">
        <v>0</v>
      </c>
    </row>
    <row r="23" spans="1:6" x14ac:dyDescent="0.3">
      <c r="A23" t="s">
        <v>62</v>
      </c>
      <c r="B23" t="s">
        <v>190</v>
      </c>
      <c r="C23" t="s">
        <v>77</v>
      </c>
      <c r="D23" t="s">
        <v>219</v>
      </c>
      <c r="E23">
        <v>148.4</v>
      </c>
      <c r="F23">
        <v>0</v>
      </c>
    </row>
    <row r="24" spans="1:6" x14ac:dyDescent="0.3">
      <c r="A24" t="s">
        <v>63</v>
      </c>
      <c r="B24" t="s">
        <v>190</v>
      </c>
      <c r="C24" t="s">
        <v>78</v>
      </c>
      <c r="D24" t="s">
        <v>219</v>
      </c>
      <c r="E24">
        <v>148.4</v>
      </c>
      <c r="F24">
        <v>0</v>
      </c>
    </row>
    <row r="25" spans="1:6" x14ac:dyDescent="0.3">
      <c r="A25" t="s">
        <v>64</v>
      </c>
      <c r="B25" t="s">
        <v>190</v>
      </c>
      <c r="C25" t="s">
        <v>79</v>
      </c>
      <c r="D25" t="s">
        <v>219</v>
      </c>
      <c r="E25">
        <v>148.4</v>
      </c>
      <c r="F25">
        <v>0</v>
      </c>
    </row>
    <row r="26" spans="1:6" x14ac:dyDescent="0.3">
      <c r="A26" t="s">
        <v>65</v>
      </c>
      <c r="B26" t="s">
        <v>190</v>
      </c>
      <c r="C26" t="s">
        <v>80</v>
      </c>
      <c r="D26" t="s">
        <v>219</v>
      </c>
      <c r="E26">
        <v>148.4</v>
      </c>
      <c r="F26">
        <v>0</v>
      </c>
    </row>
    <row r="27" spans="1:6" x14ac:dyDescent="0.3">
      <c r="A27" t="s">
        <v>66</v>
      </c>
      <c r="B27" t="s">
        <v>190</v>
      </c>
      <c r="C27" t="s">
        <v>81</v>
      </c>
      <c r="D27" t="s">
        <v>219</v>
      </c>
      <c r="E27">
        <v>148.4</v>
      </c>
      <c r="F27">
        <v>0</v>
      </c>
    </row>
    <row r="28" spans="1:6" x14ac:dyDescent="0.3">
      <c r="A28" t="s">
        <v>67</v>
      </c>
      <c r="B28" t="s">
        <v>190</v>
      </c>
      <c r="C28" t="s">
        <v>82</v>
      </c>
      <c r="D28" t="s">
        <v>219</v>
      </c>
      <c r="E28">
        <v>148.4</v>
      </c>
      <c r="F28">
        <v>0</v>
      </c>
    </row>
    <row r="29" spans="1:6" x14ac:dyDescent="0.3">
      <c r="A29" t="s">
        <v>68</v>
      </c>
      <c r="B29" t="s">
        <v>190</v>
      </c>
      <c r="C29" t="s">
        <v>83</v>
      </c>
      <c r="D29" t="s">
        <v>220</v>
      </c>
      <c r="E29">
        <v>148.4</v>
      </c>
      <c r="F29">
        <v>0</v>
      </c>
    </row>
    <row r="30" spans="1:6" x14ac:dyDescent="0.3">
      <c r="A30" t="s">
        <v>69</v>
      </c>
      <c r="B30" t="s">
        <v>190</v>
      </c>
      <c r="C30" t="s">
        <v>84</v>
      </c>
      <c r="D30" t="s">
        <v>219</v>
      </c>
      <c r="E30">
        <v>148.4</v>
      </c>
      <c r="F30">
        <v>0</v>
      </c>
    </row>
    <row r="31" spans="1:6" x14ac:dyDescent="0.3">
      <c r="A31" t="s">
        <v>70</v>
      </c>
      <c r="B31" t="s">
        <v>190</v>
      </c>
      <c r="C31" t="s">
        <v>85</v>
      </c>
      <c r="D31" t="s">
        <v>219</v>
      </c>
      <c r="E31">
        <v>148.4</v>
      </c>
      <c r="F31">
        <v>0</v>
      </c>
    </row>
    <row r="32" spans="1:6" x14ac:dyDescent="0.3">
      <c r="A32" t="s">
        <v>71</v>
      </c>
      <c r="B32" t="s">
        <v>190</v>
      </c>
      <c r="C32" t="s">
        <v>86</v>
      </c>
      <c r="D32" t="s">
        <v>221</v>
      </c>
      <c r="E32">
        <v>148.4</v>
      </c>
      <c r="F32">
        <v>0</v>
      </c>
    </row>
    <row r="33" spans="1:6" x14ac:dyDescent="0.3">
      <c r="A33" t="s">
        <v>72</v>
      </c>
      <c r="B33" t="s">
        <v>190</v>
      </c>
      <c r="C33" t="s">
        <v>87</v>
      </c>
      <c r="D33" t="s">
        <v>219</v>
      </c>
      <c r="E33">
        <v>148.4</v>
      </c>
      <c r="F33">
        <v>0</v>
      </c>
    </row>
    <row r="34" spans="1:6" x14ac:dyDescent="0.3">
      <c r="A34" t="s">
        <v>73</v>
      </c>
      <c r="B34" t="s">
        <v>190</v>
      </c>
      <c r="C34" t="s">
        <v>88</v>
      </c>
      <c r="D34" t="s">
        <v>219</v>
      </c>
      <c r="E34">
        <v>148.4</v>
      </c>
      <c r="F34">
        <v>0</v>
      </c>
    </row>
    <row r="35" spans="1:6" x14ac:dyDescent="0.3">
      <c r="A35" t="s">
        <v>74</v>
      </c>
      <c r="B35" t="s">
        <v>190</v>
      </c>
      <c r="C35" t="s">
        <v>89</v>
      </c>
      <c r="D35" t="s">
        <v>219</v>
      </c>
      <c r="E35">
        <v>148.4</v>
      </c>
      <c r="F35">
        <v>0</v>
      </c>
    </row>
    <row r="36" spans="1:6" x14ac:dyDescent="0.3">
      <c r="A36" t="s">
        <v>90</v>
      </c>
      <c r="B36" t="s">
        <v>192</v>
      </c>
      <c r="C36" t="s">
        <v>95</v>
      </c>
      <c r="D36" t="s">
        <v>213</v>
      </c>
    </row>
    <row r="37" spans="1:6" x14ac:dyDescent="0.3">
      <c r="A37" t="s">
        <v>91</v>
      </c>
      <c r="B37" t="s">
        <v>192</v>
      </c>
      <c r="C37" t="s">
        <v>96</v>
      </c>
      <c r="D37" t="s">
        <v>213</v>
      </c>
    </row>
    <row r="38" spans="1:6" x14ac:dyDescent="0.3">
      <c r="A38" t="s">
        <v>92</v>
      </c>
      <c r="B38" t="s">
        <v>192</v>
      </c>
      <c r="C38" t="s">
        <v>97</v>
      </c>
      <c r="D38" t="s">
        <v>213</v>
      </c>
    </row>
    <row r="39" spans="1:6" x14ac:dyDescent="0.3">
      <c r="A39" t="s">
        <v>93</v>
      </c>
      <c r="B39" t="s">
        <v>192</v>
      </c>
      <c r="C39" t="s">
        <v>98</v>
      </c>
      <c r="D39" t="s">
        <v>213</v>
      </c>
    </row>
    <row r="40" spans="1:6" x14ac:dyDescent="0.3">
      <c r="A40" t="s">
        <v>94</v>
      </c>
      <c r="B40" t="s">
        <v>192</v>
      </c>
      <c r="C40" t="s">
        <v>99</v>
      </c>
      <c r="D40" t="s">
        <v>213</v>
      </c>
    </row>
    <row r="41" spans="1:6" x14ac:dyDescent="0.3">
      <c r="A41" t="s">
        <v>176</v>
      </c>
      <c r="B41" t="s">
        <v>192</v>
      </c>
      <c r="C41" t="s">
        <v>175</v>
      </c>
      <c r="D41" t="s">
        <v>213</v>
      </c>
    </row>
    <row r="42" spans="1:6" x14ac:dyDescent="0.3">
      <c r="A42" t="s">
        <v>116</v>
      </c>
      <c r="B42" t="s">
        <v>191</v>
      </c>
      <c r="C42" t="s">
        <v>76</v>
      </c>
      <c r="D42" t="s">
        <v>219</v>
      </c>
      <c r="E42">
        <v>148.4</v>
      </c>
      <c r="F42">
        <v>0</v>
      </c>
    </row>
    <row r="43" spans="1:6" x14ac:dyDescent="0.3">
      <c r="A43" t="s">
        <v>117</v>
      </c>
      <c r="B43" t="s">
        <v>191</v>
      </c>
      <c r="C43" t="s">
        <v>77</v>
      </c>
      <c r="D43" t="s">
        <v>219</v>
      </c>
      <c r="E43">
        <v>148.4</v>
      </c>
      <c r="F43">
        <v>0</v>
      </c>
    </row>
    <row r="44" spans="1:6" x14ac:dyDescent="0.3">
      <c r="A44" t="s">
        <v>118</v>
      </c>
      <c r="B44" t="s">
        <v>191</v>
      </c>
      <c r="C44" t="s">
        <v>78</v>
      </c>
      <c r="D44" t="s">
        <v>219</v>
      </c>
      <c r="E44">
        <v>148.4</v>
      </c>
      <c r="F44">
        <v>0</v>
      </c>
    </row>
    <row r="45" spans="1:6" x14ac:dyDescent="0.3">
      <c r="A45" t="s">
        <v>119</v>
      </c>
      <c r="B45" t="s">
        <v>191</v>
      </c>
      <c r="C45" t="s">
        <v>79</v>
      </c>
      <c r="D45" t="s">
        <v>219</v>
      </c>
      <c r="E45">
        <v>148.4</v>
      </c>
      <c r="F45">
        <v>0</v>
      </c>
    </row>
    <row r="46" spans="1:6" x14ac:dyDescent="0.3">
      <c r="A46" t="s">
        <v>120</v>
      </c>
      <c r="B46" t="s">
        <v>191</v>
      </c>
      <c r="C46" t="s">
        <v>80</v>
      </c>
      <c r="D46" t="s">
        <v>219</v>
      </c>
      <c r="E46">
        <v>148.4</v>
      </c>
      <c r="F46">
        <v>0</v>
      </c>
    </row>
    <row r="47" spans="1:6" x14ac:dyDescent="0.3">
      <c r="A47" t="s">
        <v>121</v>
      </c>
      <c r="B47" t="s">
        <v>191</v>
      </c>
      <c r="C47" t="s">
        <v>81</v>
      </c>
      <c r="D47" t="s">
        <v>219</v>
      </c>
      <c r="E47">
        <v>148.4</v>
      </c>
      <c r="F47">
        <v>0</v>
      </c>
    </row>
    <row r="48" spans="1:6" x14ac:dyDescent="0.3">
      <c r="A48" t="s">
        <v>122</v>
      </c>
      <c r="B48" t="s">
        <v>191</v>
      </c>
      <c r="C48" t="s">
        <v>82</v>
      </c>
      <c r="D48" t="s">
        <v>219</v>
      </c>
      <c r="E48">
        <v>148.4</v>
      </c>
      <c r="F48">
        <v>0</v>
      </c>
    </row>
    <row r="49" spans="1:6" x14ac:dyDescent="0.3">
      <c r="A49" t="s">
        <v>123</v>
      </c>
      <c r="B49" t="s">
        <v>191</v>
      </c>
      <c r="C49" t="s">
        <v>83</v>
      </c>
      <c r="D49" t="s">
        <v>219</v>
      </c>
      <c r="E49">
        <v>148.4</v>
      </c>
      <c r="F49">
        <v>0</v>
      </c>
    </row>
    <row r="50" spans="1:6" x14ac:dyDescent="0.3">
      <c r="A50" t="s">
        <v>124</v>
      </c>
      <c r="B50" t="s">
        <v>191</v>
      </c>
      <c r="C50" t="s">
        <v>84</v>
      </c>
      <c r="D50" t="s">
        <v>219</v>
      </c>
      <c r="E50">
        <v>148.4</v>
      </c>
      <c r="F50">
        <v>0</v>
      </c>
    </row>
    <row r="51" spans="1:6" x14ac:dyDescent="0.3">
      <c r="A51" t="s">
        <v>125</v>
      </c>
      <c r="B51" t="s">
        <v>191</v>
      </c>
      <c r="C51" t="s">
        <v>85</v>
      </c>
      <c r="D51" t="s">
        <v>219</v>
      </c>
      <c r="E51">
        <v>148.4</v>
      </c>
      <c r="F51">
        <v>0</v>
      </c>
    </row>
    <row r="52" spans="1:6" x14ac:dyDescent="0.3">
      <c r="A52" t="s">
        <v>126</v>
      </c>
      <c r="B52" t="s">
        <v>191</v>
      </c>
      <c r="C52" t="s">
        <v>86</v>
      </c>
      <c r="D52" t="s">
        <v>219</v>
      </c>
      <c r="E52">
        <v>148.4</v>
      </c>
      <c r="F52">
        <v>0</v>
      </c>
    </row>
    <row r="53" spans="1:6" x14ac:dyDescent="0.3">
      <c r="A53" t="s">
        <v>127</v>
      </c>
      <c r="B53" t="s">
        <v>191</v>
      </c>
      <c r="C53" t="s">
        <v>87</v>
      </c>
      <c r="D53" t="s">
        <v>219</v>
      </c>
      <c r="E53">
        <v>148.4</v>
      </c>
      <c r="F53">
        <v>0</v>
      </c>
    </row>
    <row r="54" spans="1:6" x14ac:dyDescent="0.3">
      <c r="A54" t="s">
        <v>128</v>
      </c>
      <c r="B54" t="s">
        <v>191</v>
      </c>
      <c r="C54" t="s">
        <v>88</v>
      </c>
      <c r="D54" t="s">
        <v>219</v>
      </c>
      <c r="E54">
        <v>148.4</v>
      </c>
      <c r="F54">
        <v>0</v>
      </c>
    </row>
    <row r="55" spans="1:6" x14ac:dyDescent="0.3">
      <c r="A55" t="s">
        <v>129</v>
      </c>
      <c r="B55" t="s">
        <v>191</v>
      </c>
      <c r="C55" t="s">
        <v>89</v>
      </c>
      <c r="D55" t="s">
        <v>219</v>
      </c>
      <c r="E55">
        <v>148.4</v>
      </c>
      <c r="F55">
        <v>0</v>
      </c>
    </row>
    <row r="56" spans="1:6" x14ac:dyDescent="0.3">
      <c r="A56" t="s">
        <v>145</v>
      </c>
      <c r="B56" t="s">
        <v>146</v>
      </c>
      <c r="C56" t="s">
        <v>148</v>
      </c>
      <c r="D56" t="s">
        <v>213</v>
      </c>
    </row>
    <row r="57" spans="1:6" x14ac:dyDescent="0.3">
      <c r="A57" t="s">
        <v>149</v>
      </c>
      <c r="B57" t="s">
        <v>150</v>
      </c>
      <c r="C57" t="s">
        <v>153</v>
      </c>
      <c r="D57" t="s">
        <v>213</v>
      </c>
    </row>
    <row r="58" spans="1:6" x14ac:dyDescent="0.3">
      <c r="A58" t="s">
        <v>156</v>
      </c>
      <c r="B58" t="s">
        <v>150</v>
      </c>
      <c r="C58" t="s">
        <v>158</v>
      </c>
      <c r="D58" t="s">
        <v>213</v>
      </c>
    </row>
    <row r="59" spans="1:6" x14ac:dyDescent="0.3">
      <c r="A59" t="s">
        <v>160</v>
      </c>
      <c r="B59" t="s">
        <v>150</v>
      </c>
      <c r="C59" t="s">
        <v>162</v>
      </c>
      <c r="D59" t="s">
        <v>213</v>
      </c>
    </row>
    <row r="60" spans="1:6" x14ac:dyDescent="0.3">
      <c r="A60" t="s">
        <v>154</v>
      </c>
      <c r="B60" t="s">
        <v>150</v>
      </c>
      <c r="C60" t="s">
        <v>155</v>
      </c>
      <c r="D60" t="s">
        <v>213</v>
      </c>
    </row>
    <row r="61" spans="1:6" x14ac:dyDescent="0.3">
      <c r="A61" t="s">
        <v>167</v>
      </c>
      <c r="B61" t="s">
        <v>150</v>
      </c>
      <c r="C61" t="s">
        <v>168</v>
      </c>
      <c r="D61" t="s">
        <v>213</v>
      </c>
    </row>
    <row r="62" spans="1:6" x14ac:dyDescent="0.3">
      <c r="A62" t="s">
        <v>163</v>
      </c>
      <c r="B62" t="s">
        <v>150</v>
      </c>
      <c r="C62" t="s">
        <v>164</v>
      </c>
      <c r="D62" t="s">
        <v>213</v>
      </c>
    </row>
    <row r="63" spans="1:6" x14ac:dyDescent="0.3">
      <c r="A63" t="s">
        <v>165</v>
      </c>
      <c r="B63" t="s">
        <v>150</v>
      </c>
      <c r="C63" t="s">
        <v>166</v>
      </c>
      <c r="D63" t="s">
        <v>213</v>
      </c>
    </row>
    <row r="64" spans="1:6" x14ac:dyDescent="0.3">
      <c r="A64" t="s">
        <v>169</v>
      </c>
      <c r="B64" t="s">
        <v>150</v>
      </c>
      <c r="C64" t="s">
        <v>170</v>
      </c>
      <c r="D64" t="s">
        <v>213</v>
      </c>
    </row>
    <row r="65" spans="1:6" x14ac:dyDescent="0.3">
      <c r="A65" t="s">
        <v>174</v>
      </c>
      <c r="B65" t="s">
        <v>193</v>
      </c>
      <c r="C65" t="s">
        <v>171</v>
      </c>
      <c r="D65" t="s">
        <v>213</v>
      </c>
    </row>
    <row r="66" spans="1:6" x14ac:dyDescent="0.3">
      <c r="A66" t="s">
        <v>172</v>
      </c>
      <c r="B66" t="s">
        <v>193</v>
      </c>
      <c r="C66" t="s">
        <v>173</v>
      </c>
      <c r="D66" t="s">
        <v>213</v>
      </c>
    </row>
    <row r="67" spans="1:6" x14ac:dyDescent="0.3">
      <c r="A67" t="s">
        <v>178</v>
      </c>
      <c r="B67" t="s">
        <v>194</v>
      </c>
      <c r="C67" t="s">
        <v>148</v>
      </c>
      <c r="D67" t="s">
        <v>213</v>
      </c>
    </row>
    <row r="68" spans="1:6" x14ac:dyDescent="0.3">
      <c r="A68" t="s">
        <v>182</v>
      </c>
      <c r="B68" t="s">
        <v>195</v>
      </c>
      <c r="C68" t="s">
        <v>181</v>
      </c>
      <c r="D68" t="s">
        <v>213</v>
      </c>
    </row>
    <row r="69" spans="1:6" x14ac:dyDescent="0.3">
      <c r="A69" t="s">
        <v>180</v>
      </c>
      <c r="B69" t="s">
        <v>195</v>
      </c>
      <c r="C69" t="s">
        <v>184</v>
      </c>
      <c r="D69" t="s">
        <v>213</v>
      </c>
    </row>
    <row r="70" spans="1:6" x14ac:dyDescent="0.3">
      <c r="A70" t="s">
        <v>185</v>
      </c>
      <c r="B70" t="s">
        <v>186</v>
      </c>
      <c r="C70" t="s">
        <v>188</v>
      </c>
      <c r="D70" t="s">
        <v>213</v>
      </c>
    </row>
    <row r="71" spans="1:6" x14ac:dyDescent="0.3">
      <c r="A71" t="s">
        <v>196</v>
      </c>
      <c r="B71" t="s">
        <v>199</v>
      </c>
      <c r="C71" t="s">
        <v>201</v>
      </c>
      <c r="D71" t="s">
        <v>213</v>
      </c>
      <c r="E71">
        <v>279.2</v>
      </c>
      <c r="F71">
        <v>-279.2</v>
      </c>
    </row>
    <row r="72" spans="1:6" x14ac:dyDescent="0.3">
      <c r="A72" t="s">
        <v>197</v>
      </c>
      <c r="B72" t="s">
        <v>199</v>
      </c>
      <c r="C72" t="s">
        <v>202</v>
      </c>
      <c r="D72" t="s">
        <v>213</v>
      </c>
      <c r="E72">
        <v>279.2</v>
      </c>
      <c r="F72">
        <v>-279.2</v>
      </c>
    </row>
    <row r="73" spans="1:6" x14ac:dyDescent="0.3">
      <c r="A73" t="s">
        <v>198</v>
      </c>
      <c r="B73" t="s">
        <v>199</v>
      </c>
      <c r="C73" t="s">
        <v>203</v>
      </c>
      <c r="D73" t="s">
        <v>213</v>
      </c>
      <c r="E73">
        <v>109</v>
      </c>
      <c r="F73">
        <v>-109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RM2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Phú</dc:creator>
  <cp:lastModifiedBy>T.T Quy</cp:lastModifiedBy>
  <dcterms:created xsi:type="dcterms:W3CDTF">2025-09-29T02:23:50Z</dcterms:created>
  <dcterms:modified xsi:type="dcterms:W3CDTF">2025-11-12T08:06:32Z</dcterms:modified>
</cp:coreProperties>
</file>